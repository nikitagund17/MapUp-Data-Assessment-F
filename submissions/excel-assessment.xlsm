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4CD47370-8B93-4E42-89AC-8A696B5391F6}" xr6:coauthVersionLast="47" xr6:coauthVersionMax="47" xr10:uidLastSave="{00000000-0000-0000-0000-000000000000}"/>
  <bookViews>
    <workbookView xWindow="14295" yWindow="0" windowWidth="14610" windowHeight="1558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D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7" i="18"/>
  <c r="F30" i="18" s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29" i="18" s="1"/>
  <c r="E7" i="18"/>
  <c r="E8" i="18"/>
  <c r="E9" i="18"/>
  <c r="E29" i="18" s="1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30" i="18" s="1"/>
  <c r="D7" i="18"/>
  <c r="D29" i="18" s="1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30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30" i="18" s="1"/>
  <c r="B6" i="18"/>
  <c r="B30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C5" i="15"/>
  <c r="E28" i="18" l="1"/>
  <c r="B28" i="18"/>
  <c r="D28" i="18"/>
  <c r="B29" i="18"/>
  <c r="C28" i="18"/>
  <c r="C29" i="18"/>
  <c r="F28" i="18"/>
  <c r="C2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<sst xmlns="http://schemas.openxmlformats.org/spreadsheetml/2006/main" count="327" uniqueCount="182">
  <si>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</si>
  <si>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</si>
  <si>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</si>
  <si>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</si>
  <si>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</si>
  <si>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</si>
  <si>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</si>
  <si>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</si>
  <si>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</si>
  <si>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</si>
  <si>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</si>
  <si>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</si>
  <si>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</si>
  <si>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</si>
  <si>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</si>
  <si>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</si>
  <si>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</si>
  <si>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</si>
  <si>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</si>
  <si>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</si>
  <si>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</si>
  <si>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</si>
  <si>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</si>
  <si>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</si>
  <si>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</si>
  <si>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</si>
  <si>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</si>
  <si>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</si>
  <si>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</si>
  <si>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</si>
  <si>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</si>
  <si>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</si>
  <si>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</si>
  <si>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</si>
  <si>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</si>
  <si>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</si>
  <si>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</si>
  <si>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</si>
  <si>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</si>
  <si>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</si>
  <si>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</si>
  <si>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</si>
  <si>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</si>
  <si>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</si>
  <si>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</si>
  <si>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</si>
  <si>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</si>
  <si>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</si>
  <si>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</si>
  <si>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</si>
  <si>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</si>
  <si>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</si>
  <si>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</si>
  <si>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</si>
  <si>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</si>
  <si>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</si>
  <si>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</si>
  <si>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</si>
  <si>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</si>
  <si>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</si>
  <si>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</si>
  <si>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</si>
  <si>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</si>
  <si>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</si>
  <si>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</si>
  <si>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</si>
  <si>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</si>
  <si>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</si>
  <si>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</si>
  <si>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</si>
  <si>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</si>
  <si>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</si>
  <si>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</si>
  <si>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</si>
  <si>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</si>
  <si>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</si>
  <si>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</si>
  <si>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</si>
  <si>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</si>
  <si>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</si>
  <si>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</si>
  <si>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</si>
  <si>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</si>
  <si>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</si>
  <si>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</si>
  <si>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</si>
  <si>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</si>
  <si>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</si>
  <si>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</si>
  <si>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</si>
  <si>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</si>
  <si>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</si>
  <si>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</si>
  <si>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</si>
  <si>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</si>
  <si>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</si>
  <si>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</si>
  <si>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</si>
  <si>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</si>
  <si>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</si>
  <si>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</si>
  <si>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</si>
  <si>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</si>
  <si>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</si>
  <si>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</si>
  <si>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</si>
  <si>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</si>
  <si>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</si>
  <si>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</si>
  <si>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</si>
  <si>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</si>
  <si>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</si>
  <si>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</si>
  <si>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</si>
  <si>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</si>
  <si>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</si>
  <si>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</si>
  <si>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</si>
  <si>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</si>
  <si>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</si>
  <si>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</si>
  <si>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</si>
  <si>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</si>
  <si>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</si>
  <si>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</si>
  <si>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</si>
  <si>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</si>
  <si>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</si>
  <si>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</si>
  <si>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</si>
  <si>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</si>
  <si>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</si>
  <si>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</si>
  <si>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</si>
  <si>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</si>
  <si>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</si>
  <si>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</si>
  <si>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</si>
  <si>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</si>
  <si>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</si>
  <si>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</si>
  <si>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</si>
  <si>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</si>
  <si>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</si>
  <si>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</si>
  <si>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</si>
  <si>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</si>
  <si>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</si>
  <si>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</si>
  <si>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</si>
  <si>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</si>
  <si>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</si>
  <si>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</si>
  <si>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</si>
  <si>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</si>
  <si>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</si>
  <si>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</si>
  <si>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</si>
  <si>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</si>
  <si>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</si>
  <si>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</si>
  <si>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</si>
  <si>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</si>
  <si>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</si>
  <si>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</si>
  <si>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</si>
  <si>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</si>
  <si>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</si>
  <si>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</si>
  <si>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</si>
  <si>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</si>
  <si>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</si>
  <si>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</si>
  <si>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</si>
  <si>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</si>
  <si>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</si>
  <si>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</si>
  <si>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Formated-dates</t>
  </si>
  <si>
    <r>
      <t>ISNUMBER(C12:C21)</t>
    </r>
    <r>
      <rPr>
        <sz val="12"/>
        <rFont val="Calibri"/>
        <family val="2"/>
        <scheme val="minor"/>
      </rPr>
      <t xml:space="preserve">: This part of the formula checks whether each value in the range </t>
    </r>
    <r>
      <rPr>
        <sz val="8.75"/>
        <rFont val="Calibri"/>
        <family val="2"/>
        <scheme val="minor"/>
      </rPr>
      <t>C12:C21</t>
    </r>
    <r>
      <rPr>
        <sz val="12"/>
        <rFont val="Calibri"/>
        <family val="2"/>
        <scheme val="minor"/>
      </rPr>
      <t xml:space="preserve"> is a number.</t>
    </r>
  </si>
  <si>
    <r>
      <t>IF(ISNUMBER(C12:C21), C12:C21, 20)</t>
    </r>
    <r>
      <rPr>
        <sz val="12"/>
        <rFont val="Calibri"/>
        <family val="2"/>
        <scheme val="minor"/>
      </rPr>
      <t>: If a value is a number, it keeps the original value; otherwise, it replaces non-numeric values (including #N/A) with 20.</t>
    </r>
  </si>
  <si>
    <r>
      <t>SUM(IF(ISNUMBER(C12:C21), C12:C21, 20))</t>
    </r>
    <r>
      <rPr>
        <sz val="12"/>
        <rFont val="Calibri"/>
        <family val="2"/>
        <scheme val="minor"/>
      </rPr>
      <t>: Finally, the SUM function adds up all the values in the modified range.</t>
    </r>
  </si>
  <si>
    <t>"=SUM(IF(ISNUMBER(C12:C21), C12:C21, 20))"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</si>
</sst>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8.75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8" fillId="0" borderId="0" xfId="0" applyFont="1"/>
    <xf numFmtId="0" fontId="19" fillId="0" borderId="0" xfId="0" applyFont="1" applyAlignment="1">
      <alignment horizontal="left" vertical="center" indent="1"/>
    </xf>
    <xf numFmtId="0" fontId="2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5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P1" zoomScaleNormal="100" workbookViewId="0">
      <pane ySplit="1" topLeftCell="A18" activePane="bottomLeft" state="frozen"/>
      <selection pane="bottomLeft" activeCell="Y2" sqref="Y2:Y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9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18.5" style="1" bestFit="1" customWidth="1"/>
    <col min="26" max="16384" width="9" style="1"/>
  </cols>
  <sheetData>
    <row r="1" spans="1:25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  <c r="Y1" s="3" t="s">
        <v>177</v>
      </c>
    </row>
    <row r="2" spans="1:25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TEXT(X2,"YYYY-MM-DD")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TEXT(X3,"YYYY-MM-DD")</f>
        <v>2023-05-02</v>
      </c>
    </row>
    <row r="4" spans="1:25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</row>
    <row r="27" spans="1:25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</row>
    <row r="30" spans="1:25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2:W40">
    <cfRule type="cellIs" dxfId="2" priority="1" operator="equal">
      <formula>-1</formula>
    </cfRule>
    <cfRule type="cellIs" dxfId="1" priority="2" operator="equal">
      <formula>-1</formula>
    </cfRule>
    <cfRule type="cellIs" dxfId="0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8" sqref="C8"/>
    </sheetView>
  </sheetViews>
  <sheetFormatPr defaultColWidth="11" defaultRowHeight="15" x14ac:dyDescent="0.25"/>
  <cols>
    <col min="1" max="1" width="8.33203125" style="1" bestFit="1" customWidth="1"/>
    <col min="2" max="2" width="70" style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4" sqref="H24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IFERROR(VLOOKUP(A6, Dataset!A2:W40, 7, FALSE), 0)</f>
        <v>2.7</v>
      </c>
      <c r="C6" s="11">
        <f>IFERROR(VLOOKUP(A6, Dataset!A2:W40, 14, FALSE), 0)</f>
        <v>7.6</v>
      </c>
      <c r="D6" s="11">
        <f>IFERROR(VLOOKUP(A6, Dataset!A2:W40, 18, FALSE), 0)</f>
        <v>4.2</v>
      </c>
      <c r="E6" s="11">
        <f>IFERROR(VLOOKUP(A6, Dataset!A2:W40, 20, FALSE), 0)</f>
        <v>8.9</v>
      </c>
      <c r="F6" s="8">
        <f>IFERROR(VLOOKUP(A6, Dataset!A2:W40, 22, FALSE), 0)</f>
        <v>4.2</v>
      </c>
    </row>
    <row r="7" spans="1:7" ht="15" x14ac:dyDescent="0.25">
      <c r="A7" s="7" t="s">
        <v>4</v>
      </c>
      <c r="B7" s="11">
        <f>IFERROR(VLOOKUP(A7, Dataset!A3:W41, 7, FALSE), 0)</f>
        <v>2.7</v>
      </c>
      <c r="C7" s="11">
        <f>IFERROR(VLOOKUP(A7, Dataset!A3:W41, 14, FALSE), 0)</f>
        <v>7.6</v>
      </c>
      <c r="D7" s="11">
        <f>IFERROR(VLOOKUP(A7, Dataset!A3:W41, 18, FALSE), 0)</f>
        <v>4.2</v>
      </c>
      <c r="E7" s="11">
        <f>IFERROR(VLOOKUP(A7, Dataset!A3:W41, 20, FALSE), 0)</f>
        <v>8.9</v>
      </c>
      <c r="F7" s="8">
        <f>IFERROR(VLOOKUP(A7, Dataset!A3:W41, 22, FALSE), 0)</f>
        <v>4.2</v>
      </c>
    </row>
    <row r="8" spans="1:7" ht="15" x14ac:dyDescent="0.25">
      <c r="A8" s="7" t="s">
        <v>7</v>
      </c>
      <c r="B8" s="11">
        <f>IFERROR(VLOOKUP(A8, Dataset!A4:W42, 7, FALSE), 0)</f>
        <v>3.6</v>
      </c>
      <c r="C8" s="11">
        <f>IFERROR(VLOOKUP(A8, Dataset!A4:W42, 14, FALSE), 0)</f>
        <v>11.1</v>
      </c>
      <c r="D8" s="11">
        <f>IFERROR(VLOOKUP(A8, Dataset!A4:W42, 18, FALSE), 0)</f>
        <v>5.8</v>
      </c>
      <c r="E8" s="11">
        <f>IFERROR(VLOOKUP(A8, Dataset!A4:W42, 20, FALSE), 0)</f>
        <v>12.2</v>
      </c>
      <c r="F8" s="8">
        <f>IFERROR(VLOOKUP(A8, Dataset!A4:W42, 22, FALSE), 0)</f>
        <v>5.8</v>
      </c>
    </row>
    <row r="9" spans="1:7" ht="15" x14ac:dyDescent="0.25">
      <c r="A9" s="7" t="s">
        <v>8</v>
      </c>
      <c r="B9" s="11">
        <f>IFERROR(VLOOKUP(A9, Dataset!A5:W43, 7, FALSE), 0)</f>
        <v>4.9000000000000004</v>
      </c>
      <c r="C9" s="11">
        <f>IFERROR(VLOOKUP(A9, Dataset!A5:W43, 14, FALSE), 0)</f>
        <v>13.3</v>
      </c>
      <c r="D9" s="11">
        <f>IFERROR(VLOOKUP(A9, Dataset!A5:W43, 18, FALSE), 0)</f>
        <v>8.1</v>
      </c>
      <c r="E9" s="11">
        <f>IFERROR(VLOOKUP(A9, Dataset!A5:W43, 20, FALSE), 0)</f>
        <v>17</v>
      </c>
      <c r="F9" s="8">
        <f>IFERROR(VLOOKUP(A9, Dataset!A5:W43, 22, FALSE), 0)</f>
        <v>8.1</v>
      </c>
    </row>
    <row r="10" spans="1:7" ht="15" x14ac:dyDescent="0.25">
      <c r="A10" s="7" t="s">
        <v>11</v>
      </c>
      <c r="B10" s="11">
        <f>IFERROR(VLOOKUP(A10, Dataset!A6:W44, 7, FALSE), 0)</f>
        <v>9.4</v>
      </c>
      <c r="C10" s="11">
        <f>IFERROR(VLOOKUP(A10, Dataset!A6:W44, 14, FALSE), 0)</f>
        <v>28.3</v>
      </c>
      <c r="D10" s="11">
        <f>IFERROR(VLOOKUP(A10, Dataset!A6:W44, 18, FALSE), 0)</f>
        <v>16.100000000000001</v>
      </c>
      <c r="E10" s="11">
        <f>IFERROR(VLOOKUP(A10, Dataset!A6:W44, 20, FALSE), 0)</f>
        <v>32.799999999999997</v>
      </c>
      <c r="F10" s="8">
        <f>IFERROR(VLOOKUP(A10, Dataset!A6:W44, 22, FALSE), 0)</f>
        <v>16.100000000000001</v>
      </c>
    </row>
    <row r="11" spans="1:7" ht="15" x14ac:dyDescent="0.25">
      <c r="A11" s="7" t="s">
        <v>12</v>
      </c>
      <c r="B11" s="11">
        <f>IFERROR(VLOOKUP(A11, Dataset!A7:W45, 7, FALSE), 0)</f>
        <v>11.6</v>
      </c>
      <c r="C11" s="11">
        <f>IFERROR(VLOOKUP(A11, Dataset!A7:W45, 14, FALSE), 0)</f>
        <v>35.200000000000003</v>
      </c>
      <c r="D11" s="11">
        <f>IFERROR(VLOOKUP(A11, Dataset!A7:W45, 18, FALSE), 0)</f>
        <v>21.3</v>
      </c>
      <c r="E11" s="11">
        <f>IFERROR(VLOOKUP(A11, Dataset!A7:W45, 20, FALSE), 0)</f>
        <v>43</v>
      </c>
      <c r="F11" s="8">
        <f>IFERROR(VLOOKUP(A11, Dataset!A7:W45, 22, FALSE), 0)</f>
        <v>21.3</v>
      </c>
    </row>
    <row r="12" spans="1:7" ht="15" x14ac:dyDescent="0.25">
      <c r="A12" s="7" t="s">
        <v>14</v>
      </c>
      <c r="B12" s="11">
        <f>IFERROR(VLOOKUP(A12, Dataset!A8:W46, 7, FALSE), 0)</f>
        <v>18.399999999999999</v>
      </c>
      <c r="C12" s="11">
        <f>IFERROR(VLOOKUP(A12, Dataset!A8:W46, 14, FALSE), 0)</f>
        <v>55.6</v>
      </c>
      <c r="D12" s="11">
        <f>IFERROR(VLOOKUP(A12, Dataset!A8:W46, 18, FALSE), 0)</f>
        <v>33.799999999999997</v>
      </c>
      <c r="E12" s="11">
        <f>IFERROR(VLOOKUP(A12, Dataset!A8:W46, 20, FALSE), 0)</f>
        <v>67.900000000000006</v>
      </c>
      <c r="F12" s="8">
        <f>IFERROR(VLOOKUP(A12, Dataset!A8:W46, 22, FALSE), 0)</f>
        <v>33.799999999999997</v>
      </c>
    </row>
    <row r="13" spans="1:7" ht="15" x14ac:dyDescent="0.25">
      <c r="A13" s="7" t="s">
        <v>15</v>
      </c>
      <c r="B13" s="11">
        <f>IFERROR(VLOOKUP(A13, Dataset!A9:W47, 7, FALSE), 0)</f>
        <v>0</v>
      </c>
      <c r="C13" s="11">
        <f>IFERROR(VLOOKUP(A13, Dataset!A9:W47, 14, FALSE), 0)</f>
        <v>0</v>
      </c>
      <c r="D13" s="11">
        <f>IFERROR(VLOOKUP(A13, Dataset!A9:W47, 18, FALSE), 0)</f>
        <v>0</v>
      </c>
      <c r="E13" s="11">
        <f>IFERROR(VLOOKUP(A13, Dataset!A9:W47, 20, FALSE), 0)</f>
        <v>0</v>
      </c>
      <c r="F13" s="8">
        <f>IFERROR(VLOOKUP(A13, Dataset!A9:W47, 22, FALSE), 0)</f>
        <v>0</v>
      </c>
    </row>
    <row r="14" spans="1:7" ht="15" x14ac:dyDescent="0.25">
      <c r="A14" s="7" t="s">
        <v>16</v>
      </c>
      <c r="B14" s="11">
        <f>IFERROR(VLOOKUP(A14, Dataset!A10:W48, 7, FALSE), 0)</f>
        <v>21.9</v>
      </c>
      <c r="C14" s="11">
        <f>IFERROR(VLOOKUP(A14, Dataset!A10:W48, 14, FALSE), 0)</f>
        <v>61.5</v>
      </c>
      <c r="D14" s="11">
        <f>IFERROR(VLOOKUP(A14, Dataset!A10:W48, 18, FALSE), 0)</f>
        <v>40.1</v>
      </c>
      <c r="E14" s="11">
        <f>IFERROR(VLOOKUP(A14, Dataset!A10:W48, 20, FALSE), 0)</f>
        <v>76.599999999999994</v>
      </c>
      <c r="F14" s="8">
        <f>IFERROR(VLOOKUP(A14, Dataset!A10:W48, 22, FALSE), 0)</f>
        <v>40.1</v>
      </c>
    </row>
    <row r="15" spans="1:7" ht="15" x14ac:dyDescent="0.25">
      <c r="A15" s="7" t="s">
        <v>18</v>
      </c>
      <c r="B15" s="11">
        <f>IFERROR(VLOOKUP(A15, Dataset!A11:W49, 7, FALSE), 0)</f>
        <v>26.8</v>
      </c>
      <c r="C15" s="11">
        <f>IFERROR(VLOOKUP(A15, Dataset!A11:W49, 14, FALSE), 0)</f>
        <v>79.599999999999994</v>
      </c>
      <c r="D15" s="11">
        <f>IFERROR(VLOOKUP(A15, Dataset!A11:W49, 18, FALSE), 0)</f>
        <v>47.9</v>
      </c>
      <c r="E15" s="11">
        <f>IFERROR(VLOOKUP(A15, Dataset!A11:W49, 20, FALSE), 0)</f>
        <v>96.8</v>
      </c>
      <c r="F15" s="8">
        <f>IFERROR(VLOOKUP(A15, Dataset!A11:W49, 22, FALSE), 0)</f>
        <v>47.9</v>
      </c>
    </row>
    <row r="16" spans="1:7" ht="15" x14ac:dyDescent="0.25">
      <c r="A16" s="7" t="s">
        <v>20</v>
      </c>
      <c r="B16" s="11">
        <f>IFERROR(VLOOKUP(A16, Dataset!A12:W50, 7, FALSE), 0)</f>
        <v>28.5</v>
      </c>
      <c r="C16" s="11">
        <f>IFERROR(VLOOKUP(A16, Dataset!A12:W50, 14, FALSE), 0)</f>
        <v>85.4</v>
      </c>
      <c r="D16" s="11">
        <f>IFERROR(VLOOKUP(A16, Dataset!A12:W50, 18, FALSE), 0)</f>
        <v>52.3</v>
      </c>
      <c r="E16" s="11">
        <f>IFERROR(VLOOKUP(A16, Dataset!A12:W50, 20, FALSE), 0)</f>
        <v>106.1</v>
      </c>
      <c r="F16" s="8">
        <f>IFERROR(VLOOKUP(A16, Dataset!A12:W50, 22, FALSE), 0)</f>
        <v>52.3</v>
      </c>
    </row>
    <row r="17" spans="1:6" ht="15" x14ac:dyDescent="0.25">
      <c r="A17" s="7" t="s">
        <v>22</v>
      </c>
      <c r="B17" s="11">
        <f>IFERROR(VLOOKUP(A17, Dataset!A13:W51, 7, FALSE), 0)</f>
        <v>30.7</v>
      </c>
      <c r="C17" s="11">
        <f>IFERROR(VLOOKUP(A17, Dataset!A13:W51, 14, FALSE), 0)</f>
        <v>92.1</v>
      </c>
      <c r="D17" s="11">
        <f>IFERROR(VLOOKUP(A17, Dataset!A13:W51, 18, FALSE), 0)</f>
        <v>57</v>
      </c>
      <c r="E17" s="11">
        <f>IFERROR(VLOOKUP(A17, Dataset!A13:W51, 20, FALSE), 0)</f>
        <v>115.1</v>
      </c>
      <c r="F17" s="8">
        <f>IFERROR(VLOOKUP(A17, Dataset!A13:W51, 22, FALSE), 0)</f>
        <v>57</v>
      </c>
    </row>
    <row r="18" spans="1:6" ht="15" x14ac:dyDescent="0.25">
      <c r="A18" s="7" t="s">
        <v>23</v>
      </c>
      <c r="B18" s="11">
        <f>IFERROR(VLOOKUP(A18, Dataset!A14:W52, 7, FALSE), 0)</f>
        <v>33.799999999999997</v>
      </c>
      <c r="C18" s="11">
        <f>IFERROR(VLOOKUP(A18, Dataset!A14:W52, 14, FALSE), 0)</f>
        <v>101.3</v>
      </c>
      <c r="D18" s="11">
        <f>IFERROR(VLOOKUP(A18, Dataset!A14:W52, 18, FALSE), 0)</f>
        <v>61.4</v>
      </c>
      <c r="E18" s="11">
        <f>IFERROR(VLOOKUP(A18, Dataset!A14:W52, 20, FALSE), 0)</f>
        <v>124.4</v>
      </c>
      <c r="F18" s="8">
        <f>IFERROR(VLOOKUP(A18, Dataset!A14:W52, 22, FALSE), 0)</f>
        <v>61.4</v>
      </c>
    </row>
    <row r="19" spans="1:6" ht="15" x14ac:dyDescent="0.25">
      <c r="A19" s="7" t="s">
        <v>24</v>
      </c>
      <c r="B19" s="11">
        <f>IFERROR(VLOOKUP(A19, Dataset!A15:W53, 7, FALSE), 0)</f>
        <v>34.700000000000003</v>
      </c>
      <c r="C19" s="11">
        <f>IFERROR(VLOOKUP(A19, Dataset!A15:W53, 14, FALSE), 0)</f>
        <v>106.1</v>
      </c>
      <c r="D19" s="11">
        <f>IFERROR(VLOOKUP(A19, Dataset!A15:W53, 18, FALSE), 0)</f>
        <v>63.6</v>
      </c>
      <c r="E19" s="11">
        <f>IFERROR(VLOOKUP(A19, Dataset!A15:W53, 20, FALSE), 0)</f>
        <v>128.6</v>
      </c>
      <c r="F19" s="8">
        <f>IFERROR(VLOOKUP(A19, Dataset!A15:W53, 22, FALSE), 0)</f>
        <v>63.6</v>
      </c>
    </row>
    <row r="20" spans="1:6" ht="15" x14ac:dyDescent="0.25">
      <c r="A20" s="7" t="s">
        <v>28</v>
      </c>
      <c r="B20" s="11">
        <f>IFERROR(VLOOKUP(A20, Dataset!A16:W54, 7, FALSE), 0)</f>
        <v>0</v>
      </c>
      <c r="C20" s="11">
        <f>IFERROR(VLOOKUP(A20, Dataset!A16:W54, 14, FALSE), 0)</f>
        <v>0</v>
      </c>
      <c r="D20" s="11">
        <f>IFERROR(VLOOKUP(A20, Dataset!A16:W54, 18, FALSE), 0)</f>
        <v>0</v>
      </c>
      <c r="E20" s="11">
        <f>IFERROR(VLOOKUP(A20, Dataset!A16:W54, 20, FALSE), 0)</f>
        <v>0</v>
      </c>
      <c r="F20" s="8">
        <f>IFERROR(VLOOKUP(A20, Dataset!A16:W54, 22, FALSE), 0)</f>
        <v>0</v>
      </c>
    </row>
    <row r="21" spans="1:6" ht="15" x14ac:dyDescent="0.25">
      <c r="A21" s="7" t="s">
        <v>57</v>
      </c>
      <c r="B21" s="11">
        <f>IFERROR(VLOOKUP(A21, Dataset!A17:W55, 7, FALSE), 0)</f>
        <v>41.3</v>
      </c>
      <c r="C21" s="11">
        <f>IFERROR(VLOOKUP(A21, Dataset!A17:W55, 14, FALSE), 0)</f>
        <v>124.4</v>
      </c>
      <c r="D21" s="11">
        <f>IFERROR(VLOOKUP(A21, Dataset!A17:W55, 18, FALSE), 0)</f>
        <v>75</v>
      </c>
      <c r="E21" s="11">
        <f>IFERROR(VLOOKUP(A21, Dataset!A17:W55, 20, FALSE), 0)</f>
        <v>151.5</v>
      </c>
      <c r="F21" s="8">
        <f>IFERROR(VLOOKUP(A21, Dataset!A17:W55, 22, FALSE), 0)</f>
        <v>75</v>
      </c>
    </row>
    <row r="22" spans="1:6" ht="15" x14ac:dyDescent="0.25">
      <c r="A22" s="7" t="s">
        <v>58</v>
      </c>
      <c r="B22" s="11">
        <f>IFERROR(VLOOKUP(A22, Dataset!A18:W56, 7, FALSE), 0)</f>
        <v>-1</v>
      </c>
      <c r="C22" s="11">
        <f>IFERROR(VLOOKUP(A22, Dataset!A18:W56, 14, FALSE), 0)</f>
        <v>-1</v>
      </c>
      <c r="D22" s="11">
        <f>IFERROR(VLOOKUP(A22, Dataset!A18:W56, 18, FALSE), 0)</f>
        <v>-1</v>
      </c>
      <c r="E22" s="11">
        <f>IFERROR(VLOOKUP(A22, Dataset!A18:W56, 20, FALSE), 0)</f>
        <v>-1</v>
      </c>
      <c r="F22" s="8">
        <f>IFERROR(VLOOKUP(A22, Dataset!A18:W56, 22, FALSE), 0)</f>
        <v>-1</v>
      </c>
    </row>
    <row r="23" spans="1:6" ht="15" x14ac:dyDescent="0.25">
      <c r="A23" s="7" t="s">
        <v>31</v>
      </c>
      <c r="B23" s="11">
        <f>IFERROR(VLOOKUP(A23, Dataset!A19:W57, 7, FALSE), 0)</f>
        <v>45</v>
      </c>
      <c r="C23" s="11">
        <f>IFERROR(VLOOKUP(A23, Dataset!A19:W57, 14, FALSE), 0)</f>
        <v>133.4</v>
      </c>
      <c r="D23" s="11">
        <f>IFERROR(VLOOKUP(A23, Dataset!A19:W57, 18, FALSE), 0)</f>
        <v>79.400000000000006</v>
      </c>
      <c r="E23" s="11">
        <f>IFERROR(VLOOKUP(A23, Dataset!A19:W57, 20, FALSE), 0)</f>
        <v>160.9</v>
      </c>
      <c r="F23" s="8">
        <f>IFERROR(VLOOKUP(A23, Dataset!A19:W57, 22, FALSE), 0)</f>
        <v>79.400000000000006</v>
      </c>
    </row>
    <row r="24" spans="1:6" ht="15" x14ac:dyDescent="0.25">
      <c r="A24" s="7" t="s">
        <v>32</v>
      </c>
      <c r="B24" s="11">
        <f>IFERROR(VLOOKUP(A24, Dataset!A20:W58, 7, FALSE), 0)</f>
        <v>-1</v>
      </c>
      <c r="C24" s="11">
        <f>IFERROR(VLOOKUP(A24, Dataset!A20:W58, 14, FALSE), 0)</f>
        <v>-1</v>
      </c>
      <c r="D24" s="11">
        <f>IFERROR(VLOOKUP(A24, Dataset!A20:W58, 18, FALSE), 0)</f>
        <v>-1</v>
      </c>
      <c r="E24" s="11">
        <f>IFERROR(VLOOKUP(A24, Dataset!A20:W58, 20, FALSE), 0)</f>
        <v>-1</v>
      </c>
      <c r="F24" s="8">
        <f>IFERROR(VLOOKUP(A24, Dataset!A20:W58, 22, FALSE), 0)</f>
        <v>-1</v>
      </c>
    </row>
    <row r="25" spans="1:6" ht="15" x14ac:dyDescent="0.25">
      <c r="A25" s="7" t="s">
        <v>34</v>
      </c>
      <c r="B25" s="11">
        <f>IFERROR(VLOOKUP(A25, Dataset!A21:W59, 7, FALSE), 0)</f>
        <v>43.3</v>
      </c>
      <c r="C25" s="11">
        <f>IFERROR(VLOOKUP(A25, Dataset!A21:W59, 14, FALSE), 0)</f>
        <v>128.6</v>
      </c>
      <c r="D25" s="11">
        <f>IFERROR(VLOOKUP(A25, Dataset!A21:W59, 18, FALSE), 0)</f>
        <v>79.400000000000006</v>
      </c>
      <c r="E25" s="11">
        <f>IFERROR(VLOOKUP(A25, Dataset!A21:W59, 20, FALSE), 0)</f>
        <v>160.9</v>
      </c>
      <c r="F25" s="8">
        <f>IFERROR(VLOOKUP(A25, Dataset!A21:W59, 22, FALSE), 0)</f>
        <v>79.400000000000006</v>
      </c>
    </row>
    <row r="26" spans="1:6" ht="15" x14ac:dyDescent="0.25">
      <c r="A26" s="7" t="s">
        <v>37</v>
      </c>
      <c r="B26" s="11">
        <f>IFERROR(VLOOKUP(A26, Dataset!A22:W60, 7, FALSE), 0)</f>
        <v>49.1</v>
      </c>
      <c r="C26" s="11">
        <f>IFERROR(VLOOKUP(A26, Dataset!A22:W60, 14, FALSE), 0)</f>
        <v>146.80000000000001</v>
      </c>
      <c r="D26" s="11">
        <f>IFERROR(VLOOKUP(A26, Dataset!A22:W60, 18, FALSE), 0)</f>
        <v>90.9</v>
      </c>
      <c r="E26" s="11">
        <f>IFERROR(VLOOKUP(A26, Dataset!A22:W60, 20, FALSE), 0)</f>
        <v>183.5</v>
      </c>
      <c r="F26" s="8">
        <f>IFERROR(VLOOKUP(A26, Dataset!A22:W60, 22, FALSE), 0)</f>
        <v>90.9</v>
      </c>
    </row>
    <row r="27" spans="1:6" ht="15" x14ac:dyDescent="0.25">
      <c r="A27" s="7" t="s">
        <v>39</v>
      </c>
      <c r="B27" s="11">
        <f>IFERROR(VLOOKUP(A27, Dataset!A23:W61, 7, FALSE), 0)</f>
        <v>51.8</v>
      </c>
      <c r="C27" s="11">
        <f>IFERROR(VLOOKUP(A27, Dataset!A23:W61, 14, FALSE), 0)</f>
        <v>156.4</v>
      </c>
      <c r="D27" s="11">
        <f>IFERROR(VLOOKUP(A27, Dataset!A23:W61, 18, FALSE), 0)</f>
        <v>93.1</v>
      </c>
      <c r="E27" s="11">
        <f>IFERROR(VLOOKUP(A27, Dataset!A23:W61, 20, FALSE), 0)</f>
        <v>188.1</v>
      </c>
      <c r="F27" s="8">
        <f>IFERROR(VLOOKUP(A27, Dataset!A23:W61, 22, FALSE), 0)</f>
        <v>93.1</v>
      </c>
    </row>
    <row r="28" spans="1:6" ht="15" x14ac:dyDescent="0.25">
      <c r="A28" s="18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8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8" t="s">
        <v>84</v>
      </c>
      <c r="B30" s="31">
        <f>ROUND(AVERAGE(B6:B27), 3)</f>
        <v>20.827000000000002</v>
      </c>
      <c r="C30" s="31">
        <f t="shared" ref="C30:F30" si="2">ROUND(AVERAGE(C6:C27), 3)</f>
        <v>62.377000000000002</v>
      </c>
      <c r="D30" s="31">
        <f t="shared" si="2"/>
        <v>37.799999999999997</v>
      </c>
      <c r="E30" s="31">
        <f t="shared" si="2"/>
        <v>76.418000000000006</v>
      </c>
      <c r="F30" s="31">
        <f t="shared" si="2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54" sqref="A5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7" t="s">
        <v>165</v>
      </c>
      <c r="I9" s="2"/>
      <c r="J9" s="2"/>
    </row>
    <row r="10" spans="1:10" x14ac:dyDescent="0.25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 t="str">
        <f>LEFT(A16, SEARCH("-", A16) - 1)</f>
        <v>20000</v>
      </c>
      <c r="C16" s="1" t="str">
        <f>TRIM(MID(SUBSTITUTE(A16, "-", REPT(" ", LEN(A16))), 2 * LEN(A16) - LEN(SUBSTITUTE(A16, "-", "")), LEN(A16)))</f>
        <v>Monday</v>
      </c>
      <c r="D16" s="11" t="str">
        <f>IF(ISNUMBER(SEARCH("0", A16)), MID(A16, SEARCH("0", A16), 1), "")</f>
        <v>0</v>
      </c>
      <c r="E16" s="1" t="str">
        <f>TRIM(MID(SUBSTITUTE(A16, "-", REPT(" ", LEN(A16))), LEN(A16)*3, LEN(A16)))</f>
        <v>Sunday</v>
      </c>
      <c r="F16" s="11" t="str">
        <f>TRIM(RIGHT(SUBSTITUTE(A16, "-", REPT(" ", LEN(A16))), LEN(A16)))</f>
        <v>24</v>
      </c>
    </row>
    <row r="17" spans="1:6" x14ac:dyDescent="0.25">
      <c r="A17" s="7" t="s">
        <v>122</v>
      </c>
      <c r="B17" s="11" t="str">
        <f t="shared" ref="B17:B54" si="0">LEFT(A17, SEARCH("-", A17) - 1)</f>
        <v>20002</v>
      </c>
      <c r="C17" s="1" t="str">
        <f t="shared" ref="C17:C54" si="1">TRIM(MID(SUBSTITUTE(A17, "-", REPT(" ", LEN(A17))), 2 * LEN(A17) - LEN(SUBSTITUTE(A17, "-", "")), LEN(A17)))</f>
        <v>Monday</v>
      </c>
      <c r="D17" s="11" t="str">
        <f t="shared" ref="D17:D54" si="2">IF(ISNUMBER(SEARCH("0", A17)), MID(A17, SEARCH("0", A17), 1), "")</f>
        <v>0</v>
      </c>
      <c r="E17" s="1" t="str">
        <f t="shared" ref="E17:E54" si="3">TRIM(MID(SUBSTITUTE(A17, "-", REPT(" ", LEN(A17))), LEN(A17)*3, LEN(A17)))</f>
        <v>Sunday</v>
      </c>
      <c r="F17" s="11" t="str">
        <f t="shared" ref="F17:F54" si="4">TRIM(RIGHT(SUBSTITUTE(A17, "-", REPT(" ", LEN(A17))), LEN(A17)))</f>
        <v>24</v>
      </c>
    </row>
    <row r="18" spans="1:6" x14ac:dyDescent="0.2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P22"/>
  <sheetViews>
    <sheetView zoomScaleNormal="100" workbookViewId="0">
      <selection activeCell="F13" sqref="F13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6" ht="21" x14ac:dyDescent="0.35">
      <c r="A1" s="42" t="s">
        <v>85</v>
      </c>
      <c r="B1" s="41" t="s">
        <v>167</v>
      </c>
    </row>
    <row r="2" spans="1:16" ht="18.75" x14ac:dyDescent="0.3">
      <c r="B2" s="40" t="s">
        <v>166</v>
      </c>
    </row>
    <row r="5" spans="1:16" ht="15" x14ac:dyDescent="0.25">
      <c r="B5" s="1" t="s">
        <v>151</v>
      </c>
    </row>
    <row r="6" spans="1:16" ht="15" x14ac:dyDescent="0.25">
      <c r="A6" s="3" t="s">
        <v>53</v>
      </c>
      <c r="B6" s="46"/>
      <c r="C6" s="47" t="s">
        <v>181</v>
      </c>
      <c r="D6" s="47"/>
      <c r="G6" s="47"/>
    </row>
    <row r="7" spans="1:16" ht="15.75" x14ac:dyDescent="0.25">
      <c r="A7" s="3" t="s">
        <v>153</v>
      </c>
      <c r="B7" s="47" t="s">
        <v>178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</row>
    <row r="8" spans="1:16" ht="15.75" x14ac:dyDescent="0.2">
      <c r="B8" s="47" t="s">
        <v>179</v>
      </c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</row>
    <row r="9" spans="1:16" ht="15.75" x14ac:dyDescent="0.2">
      <c r="B9" s="47" t="s">
        <v>180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</row>
    <row r="10" spans="1:16" ht="23.25" x14ac:dyDescent="0.35">
      <c r="A10" s="17" t="s">
        <v>162</v>
      </c>
    </row>
    <row r="11" spans="1:16" ht="15" x14ac:dyDescent="0.25">
      <c r="A11" s="32" t="s">
        <v>86</v>
      </c>
      <c r="B11" s="16" t="s">
        <v>87</v>
      </c>
      <c r="C11" s="16" t="s">
        <v>88</v>
      </c>
    </row>
    <row r="12" spans="1:16" ht="15" x14ac:dyDescent="0.25">
      <c r="A12" s="32">
        <v>44927</v>
      </c>
      <c r="B12" s="16" t="s">
        <v>59</v>
      </c>
      <c r="C12" s="16">
        <v>200</v>
      </c>
    </row>
    <row r="13" spans="1:16" ht="15" x14ac:dyDescent="0.25">
      <c r="A13" s="32">
        <v>44928</v>
      </c>
      <c r="B13" s="16" t="s">
        <v>60</v>
      </c>
      <c r="C13" s="16" t="e">
        <v>#N/A</v>
      </c>
    </row>
    <row r="14" spans="1:16" ht="15" x14ac:dyDescent="0.25">
      <c r="A14" s="32">
        <v>44929</v>
      </c>
      <c r="B14" s="16" t="s">
        <v>61</v>
      </c>
      <c r="C14" s="16">
        <v>50</v>
      </c>
    </row>
    <row r="15" spans="1:16" ht="15" x14ac:dyDescent="0.25">
      <c r="A15" s="32">
        <v>44930</v>
      </c>
      <c r="B15" s="16" t="s">
        <v>62</v>
      </c>
      <c r="C15" s="16" t="e">
        <v>#N/A</v>
      </c>
      <c r="F15" s="47"/>
    </row>
    <row r="16" spans="1:16" ht="15" x14ac:dyDescent="0.25">
      <c r="A16" s="32">
        <v>44931</v>
      </c>
      <c r="B16" s="16" t="s">
        <v>63</v>
      </c>
      <c r="C16" s="16">
        <v>10</v>
      </c>
    </row>
    <row r="17" spans="1:3" ht="15" x14ac:dyDescent="0.25">
      <c r="A17" s="32">
        <v>44932</v>
      </c>
      <c r="B17" s="16" t="s">
        <v>154</v>
      </c>
      <c r="C17" s="16">
        <v>150</v>
      </c>
    </row>
    <row r="18" spans="1:3" ht="15" x14ac:dyDescent="0.25">
      <c r="A18" s="32">
        <v>44933</v>
      </c>
      <c r="B18" s="16" t="s">
        <v>155</v>
      </c>
      <c r="C18" s="16">
        <v>80</v>
      </c>
    </row>
    <row r="19" spans="1:3" ht="15" x14ac:dyDescent="0.25">
      <c r="A19" s="32">
        <v>44934</v>
      </c>
      <c r="B19" s="16" t="s">
        <v>156</v>
      </c>
      <c r="C19" s="16" t="e">
        <v>#N/A</v>
      </c>
    </row>
    <row r="20" spans="1:3" ht="15" x14ac:dyDescent="0.25">
      <c r="A20" s="32">
        <v>44935</v>
      </c>
      <c r="B20" s="16" t="s">
        <v>157</v>
      </c>
      <c r="C20" s="16">
        <v>30</v>
      </c>
    </row>
    <row r="21" spans="1:3" ht="15" x14ac:dyDescent="0.25">
      <c r="A21" s="32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85" zoomScaleNormal="100" workbookViewId="0">
      <selection activeCell="E24" sqref="E2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4">
        <f ca="1">IFERROR(INDEX($B10:$J18,MATCH(C23,$A10:$A18,0))*INDEX($M10:$M18,MATCH(A23,$N10:$N18,0)),"")</f>
        <v>0</v>
      </c>
    </row>
    <row r="24" spans="1:14" ht="15" x14ac:dyDescent="0.25">
      <c r="A24" s="7">
        <v>10100</v>
      </c>
      <c r="B24" s="11">
        <v>10104</v>
      </c>
      <c r="C24" s="44"/>
    </row>
    <row r="25" spans="1:14" ht="15" x14ac:dyDescent="0.25">
      <c r="A25" s="7">
        <v>10108</v>
      </c>
      <c r="B25" s="11">
        <v>10102</v>
      </c>
      <c r="C25" s="44"/>
    </row>
    <row r="26" spans="1:14" ht="15" x14ac:dyDescent="0.25">
      <c r="A26" s="7">
        <v>10100</v>
      </c>
      <c r="B26" s="11">
        <v>10106</v>
      </c>
      <c r="C26" s="44"/>
    </row>
    <row r="27" spans="1:14" ht="15" x14ac:dyDescent="0.25">
      <c r="A27" s="7">
        <v>10108</v>
      </c>
      <c r="B27" s="11">
        <v>10110</v>
      </c>
      <c r="C27" s="44"/>
    </row>
    <row r="28" spans="1:14" ht="15" x14ac:dyDescent="0.25">
      <c r="A28" s="7">
        <v>10102</v>
      </c>
      <c r="B28" s="11">
        <v>10104</v>
      </c>
      <c r="C28" s="44"/>
    </row>
    <row r="29" spans="1:14" ht="15" x14ac:dyDescent="0.25">
      <c r="A29" s="7">
        <v>10106</v>
      </c>
      <c r="B29" s="11">
        <v>10108</v>
      </c>
      <c r="C29" s="44"/>
    </row>
    <row r="30" spans="1:14" ht="15" x14ac:dyDescent="0.25">
      <c r="A30" s="7">
        <v>10102</v>
      </c>
      <c r="B30" s="11">
        <v>10106</v>
      </c>
      <c r="C30" s="44"/>
    </row>
    <row r="31" spans="1:14" ht="15" x14ac:dyDescent="0.25">
      <c r="A31" s="7">
        <v>10110</v>
      </c>
      <c r="B31" s="11">
        <v>10114</v>
      </c>
      <c r="C31" s="44"/>
    </row>
    <row r="32" spans="1:14" ht="15" x14ac:dyDescent="0.25">
      <c r="A32" s="7">
        <v>10104</v>
      </c>
      <c r="B32" s="11">
        <v>10106</v>
      </c>
      <c r="C32" s="44"/>
    </row>
    <row r="33" spans="1:3" ht="15" x14ac:dyDescent="0.25">
      <c r="A33" s="7">
        <v>10110</v>
      </c>
      <c r="B33" s="11">
        <v>10112</v>
      </c>
      <c r="C33" s="44"/>
    </row>
    <row r="34" spans="1:3" ht="15" x14ac:dyDescent="0.25">
      <c r="A34" s="7">
        <v>10100</v>
      </c>
      <c r="B34" s="11">
        <v>10114</v>
      </c>
      <c r="C34" s="44"/>
    </row>
    <row r="35" spans="1:3" ht="15" x14ac:dyDescent="0.25">
      <c r="A35" s="9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Nikita Gund</cp:lastModifiedBy>
  <dcterms:created xsi:type="dcterms:W3CDTF">2015-02-10T17:33:11Z</dcterms:created>
  <dcterms:modified xsi:type="dcterms:W3CDTF">2023-12-10T08:06:28Z</dcterms:modified>
</cp:coreProperties>
</file>